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3955" windowHeight="11070" activeTab="1"/>
  </bookViews>
  <sheets>
    <sheet name="Instructions" sheetId="4" r:id="rId1"/>
    <sheet name="Model Builder" sheetId="1" r:id="rId2"/>
    <sheet name="setupCSV" sheetId="2" r:id="rId3"/>
    <sheet name="parameterCSV" sheetId="3" r:id="rId4"/>
    <sheet name="SHa" sheetId="5" state="hidden" r:id="rId5"/>
    <sheet name="Plot" sheetId="6" state="hidden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B5" i="3" l="1"/>
  <c r="B6" i="3"/>
  <c r="B4" i="3"/>
  <c r="E22" i="1" l="1"/>
  <c r="F22" i="1" s="1"/>
  <c r="G22" i="1" s="1"/>
  <c r="H22" i="1" s="1"/>
  <c r="I22" i="1" s="1"/>
  <c r="L22" i="1" s="1"/>
  <c r="B8" i="3" l="1"/>
  <c r="C41" i="1"/>
  <c r="B11" i="5" l="1"/>
  <c r="B9" i="5"/>
  <c r="B5" i="5"/>
  <c r="B6" i="5"/>
  <c r="B7" i="5"/>
  <c r="B8" i="5"/>
  <c r="B10" i="5"/>
  <c r="B4" i="5"/>
  <c r="B3" i="5"/>
  <c r="B2" i="5"/>
  <c r="B13" i="3" l="1"/>
  <c r="B14" i="3"/>
  <c r="B15" i="3"/>
  <c r="B12" i="3"/>
  <c r="C9" i="3"/>
  <c r="B9" i="3"/>
  <c r="B7" i="3"/>
</calcChain>
</file>

<file path=xl/sharedStrings.xml><?xml version="1.0" encoding="utf-8"?>
<sst xmlns="http://schemas.openxmlformats.org/spreadsheetml/2006/main" count="132" uniqueCount="105">
  <si>
    <t>sammee-1d setup file</t>
  </si>
  <si>
    <t>.</t>
  </si>
  <si>
    <t>Minimum input parameters</t>
  </si>
  <si>
    <t>model x</t>
  </si>
  <si>
    <t>model surface</t>
  </si>
  <si>
    <t>model impervious</t>
  </si>
  <si>
    <t>Optional parameters</t>
  </si>
  <si>
    <t>cell initial WL</t>
  </si>
  <si>
    <t>cell catch</t>
  </si>
  <si>
    <t>cell SY</t>
  </si>
  <si>
    <t>cell K</t>
  </si>
  <si>
    <t>cell inf limit</t>
  </si>
  <si>
    <t>Notes</t>
  </si>
  <si>
    <t>'model x' defines position of boundaries and cell divides; number of data points is therefore equal to the number of cells + 1</t>
  </si>
  <si>
    <t>'model surface' and 'model impervious' to include data for boundaries; number of data points is therefore equal to the number of cells + 2.</t>
  </si>
  <si>
    <t>all optional parameters are 'cell based'; number of data points equal to number of cells.</t>
  </si>
  <si>
    <t>additional notes can be added but blank lines can not as yet be tollerated; avoid commas to assist in reading if opened in excel</t>
  </si>
  <si>
    <t>Initial Water Level</t>
  </si>
  <si>
    <t>m (AD)</t>
  </si>
  <si>
    <t>Catchment area</t>
  </si>
  <si>
    <t>Specific yeild</t>
  </si>
  <si>
    <t>m2</t>
  </si>
  <si>
    <t>m3/m3</t>
  </si>
  <si>
    <t>Hydraulic Conductivity (K)</t>
  </si>
  <si>
    <t>m/day</t>
  </si>
  <si>
    <t>m</t>
  </si>
  <si>
    <t>Infiltration limit</t>
  </si>
  <si>
    <t>Cell Data</t>
  </si>
  <si>
    <t>Boundary data</t>
  </si>
  <si>
    <t>Left</t>
  </si>
  <si>
    <t>Right</t>
  </si>
  <si>
    <t>Location</t>
  </si>
  <si>
    <t>Surface level</t>
  </si>
  <si>
    <t>Impervious layer level</t>
  </si>
  <si>
    <t>Cell ID</t>
  </si>
  <si>
    <t>setup file</t>
  </si>
  <si>
    <t>rain file</t>
  </si>
  <si>
    <t>output file</t>
  </si>
  <si>
    <t>timestep</t>
  </si>
  <si>
    <t>number timesteps</t>
  </si>
  <si>
    <t>bound const WL</t>
  </si>
  <si>
    <t>const SY</t>
  </si>
  <si>
    <t>const K</t>
  </si>
  <si>
    <t>const IL</t>
  </si>
  <si>
    <t>Constant WL</t>
  </si>
  <si>
    <t>Location of LHS boundary</t>
  </si>
  <si>
    <t>Default / constant parameters</t>
  </si>
  <si>
    <t>Hydraulic conductivity</t>
  </si>
  <si>
    <t>Initial loss</t>
  </si>
  <si>
    <t>Model files / setup</t>
  </si>
  <si>
    <t>SammEE Model Builder</t>
  </si>
  <si>
    <t>min</t>
  </si>
  <si>
    <t>Specific yield</t>
  </si>
  <si>
    <t>mm</t>
  </si>
  <si>
    <t>mm/mm</t>
  </si>
  <si>
    <t>m/m</t>
  </si>
  <si>
    <t>SammEE data files</t>
  </si>
  <si>
    <t>parameter file</t>
  </si>
  <si>
    <t>mm/day</t>
  </si>
  <si>
    <t>Proportional loss</t>
  </si>
  <si>
    <t>mm/hr</t>
  </si>
  <si>
    <t>number of cells</t>
  </si>
  <si>
    <t>cell IL</t>
  </si>
  <si>
    <t>cell PL</t>
  </si>
  <si>
    <t>cell SY', 'cell K', 'cell IL' and 'cell PL' only optional if constant equivilents have been defined in the parameter file.</t>
  </si>
  <si>
    <t>sammee-1d parameter file</t>
  </si>
  <si>
    <t>Minimum input requirements</t>
  </si>
  <si>
    <t>const PL</t>
  </si>
  <si>
    <t>'const SY' and 'const K' only optional if cell based equivilents have been defined in the setup file.</t>
  </si>
  <si>
    <t>SammEE</t>
  </si>
  <si>
    <t>shallow aquifer management model</t>
  </si>
  <si>
    <t>by Essential Environmental</t>
  </si>
  <si>
    <t>SammEE model builder - User instructions</t>
  </si>
  <si>
    <t>Welcome to the wonderful world of SammEE.</t>
  </si>
  <si>
    <t>This spreadsheet will help you get started building your first SammEE model</t>
  </si>
  <si>
    <t>Required input</t>
  </si>
  <si>
    <t>Optional input</t>
  </si>
  <si>
    <t>Everything you need to build and export SammEE input files is on the "Model Builder" sheet.</t>
  </si>
  <si>
    <t>Steps involved in a simple model build will be as follows:</t>
  </si>
  <si>
    <t>Run SammEE and select the model parameter file</t>
  </si>
  <si>
    <t>output directory</t>
  </si>
  <si>
    <t>X</t>
  </si>
  <si>
    <t>Surf</t>
  </si>
  <si>
    <t>Imp</t>
  </si>
  <si>
    <t>IniWL</t>
  </si>
  <si>
    <t>Cat</t>
  </si>
  <si>
    <t>IL</t>
  </si>
  <si>
    <t>PL</t>
  </si>
  <si>
    <t>Cell Data Count</t>
  </si>
  <si>
    <t>SY</t>
  </si>
  <si>
    <t>K</t>
  </si>
  <si>
    <t>InfLim</t>
  </si>
  <si>
    <t>Infiltration Limit</t>
  </si>
  <si>
    <t>Complete all the blue cells (required inputs) including as many cells as required</t>
  </si>
  <si>
    <t>Complete green cells (optional inputs) for cells which vary from the default properties/parameters</t>
  </si>
  <si>
    <t>Click the "Export files" button to export model CSV files.</t>
  </si>
  <si>
    <t>by Essential Environmental ©2013</t>
  </si>
  <si>
    <t>Click the "Build model" button to generate model CSV templates and update the geometry preview.</t>
  </si>
  <si>
    <t>samm1d_test.sPara</t>
  </si>
  <si>
    <t>samm1d_test.sSetup</t>
  </si>
  <si>
    <t>jarrahdale_wet.sRain</t>
  </si>
  <si>
    <t>samm1d_test.sOut</t>
  </si>
  <si>
    <t>model run duration</t>
  </si>
  <si>
    <t>days</t>
  </si>
  <si>
    <t>c:\sammee-1d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</si>
</sst>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0" fillId="34" borderId="0" xfId="0" applyFill="1"/>
    <xf numFmtId="0" fontId="0" fillId="33" borderId="11" xfId="0" applyFill="1" applyBorder="1"/>
    <xf numFmtId="0" fontId="16" fillId="0" borderId="0" xfId="0" applyFont="1"/>
    <xf numFmtId="0" fontId="0" fillId="0" borderId="0" xfId="0" applyFont="1"/>
    <xf numFmtId="0" fontId="0" fillId="34" borderId="0" xfId="0" applyFill="1" applyAlignment="1">
      <alignment horizontal="left"/>
    </xf>
    <xf numFmtId="0" fontId="18" fillId="0" borderId="0" xfId="0" applyFont="1"/>
    <xf numFmtId="0" fontId="0" fillId="0" borderId="0" xfId="0" applyFill="1"/>
    <xf numFmtId="0" fontId="0" fillId="0" borderId="10" xfId="0" applyBorder="1"/>
    <xf numFmtId="0" fontId="0" fillId="0" borderId="0" xfId="0" quotePrefix="1"/>
    <xf numFmtId="0" fontId="0" fillId="35" borderId="0" xfId="0" applyFill="1"/>
    <xf numFmtId="0" fontId="19" fillId="35" borderId="0" xfId="0" applyFont="1" applyFill="1"/>
    <xf numFmtId="0" fontId="0" fillId="35" borderId="0" xfId="0" applyFill="1" applyAlignment="1">
      <alignment horizontal="left" indent="1"/>
    </xf>
    <xf numFmtId="0" fontId="0" fillId="0" borderId="0" xfId="0" applyAlignment="1">
      <alignment horizontal="left" indent="1"/>
    </xf>
    <xf numFmtId="0" fontId="20" fillId="35" borderId="0" xfId="0" applyFont="1" applyFill="1" applyAlignment="1">
      <alignment horizontal="left"/>
    </xf>
    <xf numFmtId="0" fontId="0" fillId="37" borderId="0" xfId="0" applyFill="1"/>
    <xf numFmtId="0" fontId="0" fillId="0" borderId="0" xfId="0" applyFill="1" applyAlignment="1">
      <alignment horizontal="left"/>
    </xf>
    <xf numFmtId="0" fontId="0" fillId="34" borderId="12" xfId="0" applyFill="1" applyBorder="1"/>
    <xf numFmtId="0" fontId="0" fillId="36" borderId="12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Surface</c:v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Plot!$1:$1</c:f>
              <c:numCache>
                <c:formatCode>General</c:formatCode>
                <c:ptCount val="16384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9</c:v>
                </c:pt>
                <c:pt idx="5">
                  <c:v>13</c:v>
                </c:pt>
                <c:pt idx="6">
                  <c:v>13</c:v>
                </c:pt>
                <c:pt idx="7">
                  <c:v>17</c:v>
                </c:pt>
                <c:pt idx="8">
                  <c:v>17</c:v>
                </c:pt>
                <c:pt idx="9">
                  <c:v>21</c:v>
                </c:pt>
                <c:pt idx="10">
                  <c:v>21</c:v>
                </c:pt>
                <c:pt idx="11">
                  <c:v>25</c:v>
                </c:pt>
                <c:pt idx="12">
                  <c:v>25</c:v>
                </c:pt>
                <c:pt idx="13">
                  <c:v>29</c:v>
                </c:pt>
                <c:pt idx="14">
                  <c:v>29</c:v>
                </c:pt>
                <c:pt idx="15">
                  <c:v>33</c:v>
                </c:pt>
                <c:pt idx="16">
                  <c:v>33</c:v>
                </c:pt>
                <c:pt idx="17">
                  <c:v>37</c:v>
                </c:pt>
                <c:pt idx="18">
                  <c:v>37</c:v>
                </c:pt>
                <c:pt idx="19">
                  <c:v>41</c:v>
                </c:pt>
                <c:pt idx="20">
                  <c:v>41</c:v>
                </c:pt>
                <c:pt idx="21">
                  <c:v>45</c:v>
                </c:pt>
                <c:pt idx="22">
                  <c:v>45</c:v>
                </c:pt>
                <c:pt idx="23">
                  <c:v>49</c:v>
                </c:pt>
                <c:pt idx="24">
                  <c:v>49</c:v>
                </c:pt>
                <c:pt idx="25">
                  <c:v>53</c:v>
                </c:pt>
                <c:pt idx="26">
                  <c:v>53</c:v>
                </c:pt>
                <c:pt idx="27">
                  <c:v>57</c:v>
                </c:pt>
                <c:pt idx="28">
                  <c:v>57</c:v>
                </c:pt>
                <c:pt idx="29">
                  <c:v>61</c:v>
                </c:pt>
                <c:pt idx="30">
                  <c:v>61</c:v>
                </c:pt>
                <c:pt idx="31">
                  <c:v>65</c:v>
                </c:pt>
                <c:pt idx="32">
                  <c:v>65</c:v>
                </c:pt>
                <c:pt idx="33">
                  <c:v>69</c:v>
                </c:pt>
                <c:pt idx="34">
                  <c:v>69</c:v>
                </c:pt>
                <c:pt idx="35">
                  <c:v>73</c:v>
                </c:pt>
                <c:pt idx="36">
                  <c:v>73</c:v>
                </c:pt>
                <c:pt idx="37">
                  <c:v>77</c:v>
                </c:pt>
                <c:pt idx="38">
                  <c:v>77</c:v>
                </c:pt>
                <c:pt idx="39">
                  <c:v>81</c:v>
                </c:pt>
                <c:pt idx="40">
                  <c:v>81</c:v>
                </c:pt>
              </c:numCache>
            </c:numRef>
          </c:xVal>
          <c:yVal>
            <c:numRef>
              <c:f>Plot!$2:$2</c:f>
              <c:numCache>
                <c:formatCode>General</c:formatCode>
                <c:ptCount val="1638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5.5</c:v>
                </c:pt>
                <c:pt idx="7">
                  <c:v>5.5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5.7</c:v>
                </c:pt>
                <c:pt idx="23">
                  <c:v>5.7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</c:numCache>
            </c:numRef>
          </c:yVal>
          <c:smooth val="0"/>
        </c:ser>
        <c:ser>
          <c:idx val="1"/>
          <c:order val="1"/>
          <c:tx>
            <c:v>Impervious</c:v>
          </c:tx>
          <c:spPr>
            <a:ln>
              <a:solidFill>
                <a:schemeClr val="accent6"/>
              </a:solidFill>
            </a:ln>
          </c:spPr>
          <c:marker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Plot!$1:$1</c:f>
              <c:numCache>
                <c:formatCode>General</c:formatCode>
                <c:ptCount val="16384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9</c:v>
                </c:pt>
                <c:pt idx="5">
                  <c:v>13</c:v>
                </c:pt>
                <c:pt idx="6">
                  <c:v>13</c:v>
                </c:pt>
                <c:pt idx="7">
                  <c:v>17</c:v>
                </c:pt>
                <c:pt idx="8">
                  <c:v>17</c:v>
                </c:pt>
                <c:pt idx="9">
                  <c:v>21</c:v>
                </c:pt>
                <c:pt idx="10">
                  <c:v>21</c:v>
                </c:pt>
                <c:pt idx="11">
                  <c:v>25</c:v>
                </c:pt>
                <c:pt idx="12">
                  <c:v>25</c:v>
                </c:pt>
                <c:pt idx="13">
                  <c:v>29</c:v>
                </c:pt>
                <c:pt idx="14">
                  <c:v>29</c:v>
                </c:pt>
                <c:pt idx="15">
                  <c:v>33</c:v>
                </c:pt>
                <c:pt idx="16">
                  <c:v>33</c:v>
                </c:pt>
                <c:pt idx="17">
                  <c:v>37</c:v>
                </c:pt>
                <c:pt idx="18">
                  <c:v>37</c:v>
                </c:pt>
                <c:pt idx="19">
                  <c:v>41</c:v>
                </c:pt>
                <c:pt idx="20">
                  <c:v>41</c:v>
                </c:pt>
                <c:pt idx="21">
                  <c:v>45</c:v>
                </c:pt>
                <c:pt idx="22">
                  <c:v>45</c:v>
                </c:pt>
                <c:pt idx="23">
                  <c:v>49</c:v>
                </c:pt>
                <c:pt idx="24">
                  <c:v>49</c:v>
                </c:pt>
                <c:pt idx="25">
                  <c:v>53</c:v>
                </c:pt>
                <c:pt idx="26">
                  <c:v>53</c:v>
                </c:pt>
                <c:pt idx="27">
                  <c:v>57</c:v>
                </c:pt>
                <c:pt idx="28">
                  <c:v>57</c:v>
                </c:pt>
                <c:pt idx="29">
                  <c:v>61</c:v>
                </c:pt>
                <c:pt idx="30">
                  <c:v>61</c:v>
                </c:pt>
                <c:pt idx="31">
                  <c:v>65</c:v>
                </c:pt>
                <c:pt idx="32">
                  <c:v>65</c:v>
                </c:pt>
                <c:pt idx="33">
                  <c:v>69</c:v>
                </c:pt>
                <c:pt idx="34">
                  <c:v>69</c:v>
                </c:pt>
                <c:pt idx="35">
                  <c:v>73</c:v>
                </c:pt>
                <c:pt idx="36">
                  <c:v>73</c:v>
                </c:pt>
                <c:pt idx="37">
                  <c:v>77</c:v>
                </c:pt>
                <c:pt idx="38">
                  <c:v>77</c:v>
                </c:pt>
                <c:pt idx="39">
                  <c:v>81</c:v>
                </c:pt>
                <c:pt idx="40">
                  <c:v>81</c:v>
                </c:pt>
              </c:numCache>
            </c:numRef>
          </c:xVal>
          <c:yVal>
            <c:numRef>
              <c:f>Plot!$3:$3</c:f>
              <c:numCache>
                <c:formatCode>General</c:formatCode>
                <c:ptCount val="16384"/>
                <c:pt idx="0">
                  <c:v>1.5</c:v>
                </c:pt>
                <c:pt idx="1">
                  <c:v>1.5</c:v>
                </c:pt>
                <c:pt idx="2">
                  <c:v>1.2</c:v>
                </c:pt>
                <c:pt idx="3">
                  <c:v>1.2</c:v>
                </c:pt>
                <c:pt idx="4">
                  <c:v>1.4</c:v>
                </c:pt>
                <c:pt idx="5">
                  <c:v>1.4</c:v>
                </c:pt>
                <c:pt idx="6">
                  <c:v>1.5999999999999999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1.9999999999999998</c:v>
                </c:pt>
                <c:pt idx="12">
                  <c:v>2.1999999999999997</c:v>
                </c:pt>
                <c:pt idx="13">
                  <c:v>2.1999999999999997</c:v>
                </c:pt>
                <c:pt idx="14">
                  <c:v>2</c:v>
                </c:pt>
                <c:pt idx="15">
                  <c:v>2</c:v>
                </c:pt>
                <c:pt idx="16">
                  <c:v>1.8</c:v>
                </c:pt>
                <c:pt idx="17">
                  <c:v>1.8</c:v>
                </c:pt>
                <c:pt idx="18">
                  <c:v>2</c:v>
                </c:pt>
                <c:pt idx="19">
                  <c:v>2</c:v>
                </c:pt>
                <c:pt idx="20">
                  <c:v>2.5</c:v>
                </c:pt>
                <c:pt idx="21">
                  <c:v>2.5</c:v>
                </c:pt>
                <c:pt idx="22">
                  <c:v>2.6</c:v>
                </c:pt>
                <c:pt idx="23">
                  <c:v>2.6</c:v>
                </c:pt>
                <c:pt idx="24">
                  <c:v>2.2999999999999998</c:v>
                </c:pt>
                <c:pt idx="25">
                  <c:v>2.2999999999999998</c:v>
                </c:pt>
                <c:pt idx="26">
                  <c:v>2</c:v>
                </c:pt>
                <c:pt idx="27">
                  <c:v>2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</c:numCache>
            </c:numRef>
          </c:yVal>
          <c:smooth val="0"/>
        </c:ser>
        <c:ser>
          <c:idx val="2"/>
          <c:order val="2"/>
          <c:tx>
            <c:v>Boundary Cond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'Model Builder'!$C$12:$D$12</c:f>
              <c:numCache>
                <c:formatCode>General</c:formatCode>
                <c:ptCount val="2"/>
                <c:pt idx="0">
                  <c:v>1</c:v>
                </c:pt>
                <c:pt idx="1">
                  <c:v>81</c:v>
                </c:pt>
              </c:numCache>
            </c:numRef>
          </c:xVal>
          <c:yVal>
            <c:numRef>
              <c:f>'Model Builder'!$C$15:$D$15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940800"/>
        <c:axId val="293495936"/>
      </c:scatterChart>
      <c:valAx>
        <c:axId val="29294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3495936"/>
        <c:crosses val="autoZero"/>
        <c:crossBetween val="midCat"/>
      </c:valAx>
      <c:valAx>
        <c:axId val="293495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2940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200026</xdr:colOff>
      <xdr:row>0</xdr:row>
      <xdr:rowOff>95250</xdr:rowOff>
    </xdr:from>
    <xdr:to>
      <xdr:col>2</xdr:col>
      <xdr:colOff>438151</xdr:colOff>
      <xdr:row>3</xdr:row>
      <xdr:rowOff>89596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6" y="95250"/>
          <a:ext cx="1047750" cy="8515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30</xdr:row>
      <xdr:rowOff>66675</xdr:rowOff>
    </xdr:from>
    <xdr:to>
      <xdr:col>20</xdr:col>
      <xdr:colOff>85725</xdr:colOff>
      <xdr:row>41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123825</xdr:colOff>
      <xdr:row>0</xdr:row>
      <xdr:rowOff>123825</xdr:rowOff>
    </xdr:from>
    <xdr:to>
      <xdr:col>0</xdr:col>
      <xdr:colOff>1171575</xdr:colOff>
      <xdr:row>3</xdr:row>
      <xdr:rowOff>118171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23825"/>
          <a:ext cx="1047750" cy="8515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14</xdr:row>
          <xdr:rowOff>38100</xdr:rowOff>
        </xdr:from>
        <xdr:to>
          <xdr:col>17</xdr:col>
          <xdr:colOff>171450</xdr:colOff>
          <xdr:row>15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Export SammEE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12</xdr:row>
          <xdr:rowOff>38100</xdr:rowOff>
        </xdr:from>
        <xdr:to>
          <xdr:col>17</xdr:col>
          <xdr:colOff>171450</xdr:colOff>
          <xdr:row>13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Build model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1"/>
  <sheetViews>
    <sheetView workbookViewId="0">
      <selection activeCell="C18" sqref="C18"/>
    </sheetView>
  </sheetViews>
  <sheetFormatPr defaultRowHeight="15" x14ac:dyDescent="0.25"/>
  <cols>
    <col min="1" max="1" width="2.5703125" customWidth="1"/>
  </cols>
  <sheetData>
    <row r="1" spans="1:13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37.5" customHeight="1" x14ac:dyDescent="0.7">
      <c r="A2" s="10"/>
      <c r="B2" s="10"/>
      <c r="C2" s="10"/>
      <c r="D2" s="11" t="s">
        <v>69</v>
      </c>
      <c r="E2" s="10"/>
      <c r="F2" s="10"/>
      <c r="G2" s="10"/>
      <c r="H2" s="10"/>
      <c r="I2" s="10"/>
      <c r="J2" s="10"/>
      <c r="K2" s="10"/>
      <c r="L2" s="10"/>
      <c r="M2" s="10"/>
    </row>
    <row r="3" spans="1:13" x14ac:dyDescent="0.25">
      <c r="A3" s="10"/>
      <c r="B3" s="10"/>
      <c r="C3" s="10"/>
      <c r="D3" s="12" t="s">
        <v>70</v>
      </c>
      <c r="E3" s="10"/>
      <c r="F3" s="10"/>
      <c r="G3" s="10"/>
      <c r="H3" s="10"/>
      <c r="I3" s="10"/>
      <c r="J3" s="10"/>
      <c r="K3" s="10"/>
      <c r="L3" s="10"/>
      <c r="M3" s="10"/>
    </row>
    <row r="4" spans="1:13" x14ac:dyDescent="0.25">
      <c r="A4" s="10"/>
      <c r="B4" s="10"/>
      <c r="C4" s="10"/>
      <c r="D4" s="12" t="s">
        <v>71</v>
      </c>
      <c r="E4" s="10"/>
      <c r="F4" s="10"/>
      <c r="G4" s="10"/>
      <c r="H4" s="10"/>
      <c r="I4" s="10"/>
      <c r="J4" s="10"/>
      <c r="K4" s="10"/>
      <c r="L4" s="10"/>
      <c r="M4" s="10"/>
    </row>
    <row r="5" spans="1:13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13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</row>
    <row r="7" spans="1:13" ht="26.25" x14ac:dyDescent="0.4">
      <c r="A7" s="10"/>
      <c r="B7" s="14" t="s">
        <v>72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</row>
    <row r="8" spans="1:13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</row>
    <row r="9" spans="1:13" x14ac:dyDescent="0.25">
      <c r="A9" s="10"/>
      <c r="B9" s="10" t="s">
        <v>73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</row>
    <row r="10" spans="1:13" x14ac:dyDescent="0.25">
      <c r="A10" s="10"/>
      <c r="B10" s="10" t="s">
        <v>74</v>
      </c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</row>
    <row r="11" spans="1:13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 spans="1:13" x14ac:dyDescent="0.25">
      <c r="A12" s="10"/>
      <c r="B12" s="10" t="s">
        <v>77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10"/>
      <c r="B13" s="10" t="s">
        <v>78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</row>
    <row r="15" spans="1:13" x14ac:dyDescent="0.25">
      <c r="A15" s="10"/>
      <c r="B15" s="10">
        <v>1</v>
      </c>
      <c r="C15" s="12" t="s">
        <v>93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</row>
    <row r="16" spans="1:13" x14ac:dyDescent="0.25">
      <c r="A16" s="10"/>
      <c r="B16" s="10">
        <v>2</v>
      </c>
      <c r="C16" s="13" t="s">
        <v>94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</row>
    <row r="17" spans="1:13" x14ac:dyDescent="0.25">
      <c r="A17" s="10"/>
      <c r="B17">
        <v>3</v>
      </c>
      <c r="C17" s="12" t="s">
        <v>97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10"/>
      <c r="B18" s="10">
        <v>2</v>
      </c>
      <c r="C18" s="12" t="s">
        <v>95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10"/>
      <c r="B19" s="10">
        <v>3</v>
      </c>
      <c r="C19" s="12" t="s">
        <v>79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</row>
    <row r="20" spans="1:13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</row>
    <row r="21" spans="1:13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</row>
    <row r="22" spans="1:13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</row>
    <row r="23" spans="1:13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</row>
    <row r="24" spans="1:13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</row>
    <row r="25" spans="1:13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  <row r="26" spans="1:13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1:13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1:13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</row>
    <row r="29" spans="1:13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1:13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</row>
    <row r="32" spans="1:13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</row>
    <row r="33" spans="1:13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</row>
    <row r="34" spans="1:13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</row>
    <row r="35" spans="1:13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</row>
    <row r="36" spans="1:13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</row>
    <row r="37" spans="1:13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</row>
    <row r="38" spans="1:13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</row>
    <row r="39" spans="1:13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</row>
    <row r="40" spans="1:13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</row>
    <row r="41" spans="1:13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C41"/>
  <sheetViews>
    <sheetView tabSelected="1" workbookViewId="0">
      <selection activeCell="H21" sqref="H21"/>
    </sheetView>
  </sheetViews>
  <sheetFormatPr defaultRowHeight="15" x14ac:dyDescent="0.25"/>
  <cols>
    <col min="1" max="1" width="27.42578125" customWidth="1"/>
    <col min="2" max="2" width="8.7109375" customWidth="1"/>
    <col min="3" max="107" width="5.7109375" customWidth="1"/>
  </cols>
  <sheetData>
    <row r="1" spans="1:13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37.5" customHeight="1" x14ac:dyDescent="0.7">
      <c r="A2" s="10"/>
      <c r="B2" s="11" t="s">
        <v>69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x14ac:dyDescent="0.25">
      <c r="A3" s="10"/>
      <c r="B3" s="12" t="s">
        <v>70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</row>
    <row r="4" spans="1:13" x14ac:dyDescent="0.25">
      <c r="A4" s="10"/>
      <c r="B4" s="12" t="s">
        <v>96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</row>
    <row r="5" spans="1:13" x14ac:dyDescent="0.25">
      <c r="A5" s="10"/>
      <c r="B5" s="12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13" ht="23.25" x14ac:dyDescent="0.35">
      <c r="A6" s="6" t="s">
        <v>50</v>
      </c>
    </row>
    <row r="8" spans="1:13" x14ac:dyDescent="0.25">
      <c r="A8" t="s">
        <v>75</v>
      </c>
      <c r="B8" s="17"/>
    </row>
    <row r="9" spans="1:13" x14ac:dyDescent="0.25">
      <c r="A9" t="s">
        <v>76</v>
      </c>
      <c r="B9" s="18"/>
    </row>
    <row r="11" spans="1:13" x14ac:dyDescent="0.25">
      <c r="A11" s="3" t="s">
        <v>28</v>
      </c>
      <c r="C11" s="8" t="s">
        <v>29</v>
      </c>
      <c r="D11" s="8" t="s">
        <v>30</v>
      </c>
      <c r="G11" s="3" t="s">
        <v>56</v>
      </c>
    </row>
    <row r="12" spans="1:13" x14ac:dyDescent="0.25">
      <c r="A12" t="s">
        <v>31</v>
      </c>
      <c r="B12" t="s">
        <v>25</v>
      </c>
      <c r="C12" s="1">
        <v>1</v>
      </c>
      <c r="D12" s="1">
        <v>81</v>
      </c>
      <c r="G12" t="s">
        <v>80</v>
      </c>
      <c r="J12" s="5" t="s">
        <v>104</v>
      </c>
      <c r="K12" s="1"/>
      <c r="L12" s="1"/>
      <c r="M12" s="1"/>
    </row>
    <row r="13" spans="1:13" x14ac:dyDescent="0.25">
      <c r="A13" t="s">
        <v>32</v>
      </c>
      <c r="B13" t="s">
        <v>18</v>
      </c>
      <c r="C13" s="1">
        <v>6</v>
      </c>
      <c r="D13" s="1">
        <v>6</v>
      </c>
      <c r="G13" t="s">
        <v>57</v>
      </c>
      <c r="J13" s="5" t="s">
        <v>98</v>
      </c>
      <c r="K13" s="1"/>
      <c r="L13" s="1"/>
      <c r="M13" s="1"/>
    </row>
    <row r="14" spans="1:13" x14ac:dyDescent="0.25">
      <c r="A14" t="s">
        <v>33</v>
      </c>
      <c r="B14" t="s">
        <v>18</v>
      </c>
      <c r="C14" s="1">
        <v>1.5</v>
      </c>
      <c r="D14" s="1">
        <v>1.5</v>
      </c>
      <c r="G14" t="s">
        <v>35</v>
      </c>
      <c r="J14" s="5" t="s">
        <v>99</v>
      </c>
      <c r="K14" s="1"/>
      <c r="L14" s="1"/>
      <c r="M14" s="1"/>
    </row>
    <row r="15" spans="1:13" x14ac:dyDescent="0.25">
      <c r="A15" t="s">
        <v>44</v>
      </c>
      <c r="B15" t="s">
        <v>18</v>
      </c>
      <c r="C15" s="1">
        <v>2.5</v>
      </c>
      <c r="D15" s="1">
        <v>2.5</v>
      </c>
      <c r="G15" t="s">
        <v>36</v>
      </c>
      <c r="J15" s="5" t="s">
        <v>100</v>
      </c>
      <c r="K15" s="1"/>
      <c r="L15" s="1"/>
      <c r="M15" s="1"/>
    </row>
    <row r="16" spans="1:13" x14ac:dyDescent="0.25">
      <c r="C16" s="7"/>
      <c r="G16" t="s">
        <v>37</v>
      </c>
      <c r="J16" s="5" t="s">
        <v>101</v>
      </c>
      <c r="K16" s="1"/>
      <c r="L16" s="1"/>
      <c r="M16" s="1"/>
    </row>
    <row r="17" spans="1:107" x14ac:dyDescent="0.25">
      <c r="C17" s="7"/>
      <c r="K17" s="16"/>
      <c r="L17" s="7"/>
      <c r="M17" s="7"/>
      <c r="N17" s="7"/>
      <c r="O17" s="7"/>
    </row>
    <row r="18" spans="1:107" x14ac:dyDescent="0.25">
      <c r="A18" s="3" t="s">
        <v>27</v>
      </c>
    </row>
    <row r="19" spans="1:107" x14ac:dyDescent="0.25">
      <c r="A19" s="4" t="s">
        <v>34</v>
      </c>
      <c r="C19" s="8">
        <v>1</v>
      </c>
      <c r="D19" s="8">
        <v>2</v>
      </c>
      <c r="E19" s="8">
        <v>3</v>
      </c>
      <c r="F19" s="8">
        <v>4</v>
      </c>
      <c r="G19" s="8">
        <v>5</v>
      </c>
      <c r="H19" s="8">
        <v>6</v>
      </c>
      <c r="I19" s="8">
        <v>7</v>
      </c>
      <c r="J19" s="8">
        <v>8</v>
      </c>
      <c r="K19" s="8">
        <v>9</v>
      </c>
      <c r="L19" s="8">
        <v>10</v>
      </c>
      <c r="M19" s="8">
        <v>11</v>
      </c>
      <c r="N19" s="8">
        <v>12</v>
      </c>
      <c r="O19" s="8">
        <v>13</v>
      </c>
      <c r="P19" s="8">
        <v>14</v>
      </c>
      <c r="Q19" s="8">
        <v>15</v>
      </c>
      <c r="R19" s="8">
        <v>16</v>
      </c>
      <c r="S19" s="8">
        <v>17</v>
      </c>
      <c r="T19" s="8">
        <v>18</v>
      </c>
      <c r="U19" s="8">
        <v>19</v>
      </c>
      <c r="V19" s="8">
        <v>20</v>
      </c>
      <c r="W19" s="8">
        <v>21</v>
      </c>
      <c r="X19" s="8">
        <v>22</v>
      </c>
      <c r="Y19" s="8">
        <v>23</v>
      </c>
      <c r="Z19" s="8">
        <v>24</v>
      </c>
      <c r="AA19" s="8">
        <v>25</v>
      </c>
      <c r="AB19" s="8">
        <v>26</v>
      </c>
      <c r="AC19" s="8">
        <v>27</v>
      </c>
      <c r="AD19" s="8">
        <v>28</v>
      </c>
      <c r="AE19" s="8">
        <v>29</v>
      </c>
      <c r="AF19" s="8">
        <v>30</v>
      </c>
      <c r="AG19" s="8">
        <v>31</v>
      </c>
      <c r="AH19" s="8">
        <v>32</v>
      </c>
      <c r="AI19" s="8">
        <v>33</v>
      </c>
      <c r="AJ19" s="8">
        <v>34</v>
      </c>
      <c r="AK19" s="8">
        <v>35</v>
      </c>
      <c r="AL19" s="8">
        <v>36</v>
      </c>
      <c r="AM19" s="8">
        <v>37</v>
      </c>
      <c r="AN19" s="8">
        <v>38</v>
      </c>
      <c r="AO19" s="8">
        <v>39</v>
      </c>
      <c r="AP19" s="8">
        <v>40</v>
      </c>
      <c r="AQ19" s="8">
        <v>41</v>
      </c>
      <c r="AR19" s="8">
        <v>42</v>
      </c>
      <c r="AS19" s="8">
        <v>43</v>
      </c>
      <c r="AT19" s="8">
        <v>44</v>
      </c>
      <c r="AU19" s="8">
        <v>45</v>
      </c>
      <c r="AV19" s="8">
        <v>46</v>
      </c>
      <c r="AW19" s="8">
        <v>47</v>
      </c>
      <c r="AX19" s="8">
        <v>48</v>
      </c>
      <c r="AY19" s="8">
        <v>49</v>
      </c>
      <c r="AZ19" s="8">
        <v>50</v>
      </c>
      <c r="BA19" s="8">
        <v>51</v>
      </c>
      <c r="BB19" s="8">
        <v>52</v>
      </c>
      <c r="BC19" s="8">
        <v>53</v>
      </c>
      <c r="BD19" s="8">
        <v>54</v>
      </c>
      <c r="BE19" s="8">
        <v>55</v>
      </c>
      <c r="BF19" s="8">
        <v>56</v>
      </c>
      <c r="BG19" s="8">
        <v>57</v>
      </c>
      <c r="BH19" s="8">
        <v>58</v>
      </c>
      <c r="BI19" s="8">
        <v>59</v>
      </c>
      <c r="BJ19" s="8">
        <v>60</v>
      </c>
      <c r="BK19" s="8">
        <v>61</v>
      </c>
      <c r="BL19" s="8">
        <v>62</v>
      </c>
      <c r="BM19" s="8">
        <v>63</v>
      </c>
      <c r="BN19" s="8">
        <v>64</v>
      </c>
      <c r="BO19" s="8">
        <v>65</v>
      </c>
      <c r="BP19" s="8">
        <v>66</v>
      </c>
      <c r="BQ19" s="8">
        <v>67</v>
      </c>
      <c r="BR19" s="8">
        <v>68</v>
      </c>
      <c r="BS19" s="8">
        <v>69</v>
      </c>
      <c r="BT19" s="8">
        <v>70</v>
      </c>
      <c r="BU19" s="8">
        <v>71</v>
      </c>
      <c r="BV19" s="8">
        <v>72</v>
      </c>
      <c r="BW19" s="8">
        <v>73</v>
      </c>
      <c r="BX19" s="8">
        <v>74</v>
      </c>
      <c r="BY19" s="8">
        <v>75</v>
      </c>
      <c r="BZ19" s="8">
        <v>76</v>
      </c>
      <c r="CA19" s="8">
        <v>77</v>
      </c>
      <c r="CB19" s="8">
        <v>78</v>
      </c>
      <c r="CC19" s="8">
        <v>79</v>
      </c>
      <c r="CD19" s="8">
        <v>80</v>
      </c>
      <c r="CE19" s="8">
        <v>81</v>
      </c>
      <c r="CF19" s="8">
        <v>82</v>
      </c>
      <c r="CG19" s="8">
        <v>83</v>
      </c>
      <c r="CH19" s="8">
        <v>84</v>
      </c>
      <c r="CI19" s="8">
        <v>85</v>
      </c>
      <c r="CJ19" s="8">
        <v>86</v>
      </c>
      <c r="CK19" s="8">
        <v>87</v>
      </c>
      <c r="CL19" s="8">
        <v>88</v>
      </c>
      <c r="CM19" s="8">
        <v>89</v>
      </c>
      <c r="CN19" s="8">
        <v>90</v>
      </c>
      <c r="CO19" s="8">
        <v>91</v>
      </c>
      <c r="CP19" s="8">
        <v>92</v>
      </c>
      <c r="CQ19" s="8">
        <v>93</v>
      </c>
      <c r="CR19" s="8">
        <v>94</v>
      </c>
      <c r="CS19" s="8">
        <v>95</v>
      </c>
      <c r="CT19" s="8">
        <v>96</v>
      </c>
      <c r="CU19" s="8">
        <v>97</v>
      </c>
      <c r="CV19" s="8">
        <v>98</v>
      </c>
      <c r="CW19" s="8">
        <v>99</v>
      </c>
      <c r="CX19" s="8">
        <v>100</v>
      </c>
      <c r="CY19" s="8">
        <v>101</v>
      </c>
      <c r="CZ19" s="8">
        <v>102</v>
      </c>
      <c r="DA19" s="8">
        <v>103</v>
      </c>
      <c r="DB19" s="8">
        <v>104</v>
      </c>
      <c r="DC19" s="8">
        <v>105</v>
      </c>
    </row>
    <row r="20" spans="1:107" x14ac:dyDescent="0.25">
      <c r="A20" t="s">
        <v>45</v>
      </c>
      <c r="B20" t="s">
        <v>25</v>
      </c>
      <c r="C20" s="2"/>
      <c r="D20" s="1">
        <v>5</v>
      </c>
      <c r="E20" s="1">
        <v>9</v>
      </c>
      <c r="F20" s="1">
        <v>13</v>
      </c>
      <c r="G20" s="1">
        <v>17</v>
      </c>
      <c r="H20" s="1">
        <v>21</v>
      </c>
      <c r="I20" s="1">
        <v>25</v>
      </c>
      <c r="J20" s="1">
        <v>29</v>
      </c>
      <c r="K20" s="1">
        <v>33</v>
      </c>
      <c r="L20" s="1">
        <v>37</v>
      </c>
      <c r="M20" s="1">
        <v>41</v>
      </c>
      <c r="N20" s="1">
        <v>45</v>
      </c>
      <c r="O20" s="1">
        <v>49</v>
      </c>
      <c r="P20" s="1">
        <v>53</v>
      </c>
      <c r="Q20" s="1">
        <v>57</v>
      </c>
      <c r="R20" s="1">
        <v>61</v>
      </c>
      <c r="S20" s="1">
        <v>65</v>
      </c>
      <c r="T20" s="1">
        <v>69</v>
      </c>
      <c r="U20" s="1">
        <v>73</v>
      </c>
      <c r="V20" s="1">
        <v>77</v>
      </c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</row>
    <row r="21" spans="1:107" x14ac:dyDescent="0.25">
      <c r="A21" t="s">
        <v>32</v>
      </c>
      <c r="B21" t="s">
        <v>18</v>
      </c>
      <c r="C21" s="1">
        <v>6</v>
      </c>
      <c r="D21" s="1">
        <v>6</v>
      </c>
      <c r="E21" s="1">
        <v>6</v>
      </c>
      <c r="F21" s="1">
        <v>5.5</v>
      </c>
      <c r="G21" s="1">
        <v>5</v>
      </c>
      <c r="H21" s="1">
        <v>6</v>
      </c>
      <c r="I21" s="1">
        <v>6</v>
      </c>
      <c r="J21" s="1">
        <v>6</v>
      </c>
      <c r="K21" s="1">
        <v>6</v>
      </c>
      <c r="L21" s="1">
        <v>5.5</v>
      </c>
      <c r="M21" s="1">
        <v>5.5</v>
      </c>
      <c r="N21" s="1">
        <v>5.7</v>
      </c>
      <c r="O21" s="1">
        <v>6</v>
      </c>
      <c r="P21" s="1">
        <v>6</v>
      </c>
      <c r="Q21" s="1">
        <v>6</v>
      </c>
      <c r="R21" s="1">
        <v>6</v>
      </c>
      <c r="S21" s="1">
        <v>6</v>
      </c>
      <c r="T21" s="1">
        <v>6</v>
      </c>
      <c r="U21" s="1">
        <v>6</v>
      </c>
      <c r="V21" s="1">
        <v>6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</row>
    <row r="22" spans="1:107" x14ac:dyDescent="0.25">
      <c r="A22" t="s">
        <v>33</v>
      </c>
      <c r="B22" t="s">
        <v>18</v>
      </c>
      <c r="C22" s="1">
        <v>1.5</v>
      </c>
      <c r="D22" s="1">
        <v>1.2</v>
      </c>
      <c r="E22" s="1">
        <f t="shared" ref="E22:I22" si="0">D22+0.2</f>
        <v>1.4</v>
      </c>
      <c r="F22" s="1">
        <f t="shared" si="0"/>
        <v>1.5999999999999999</v>
      </c>
      <c r="G22" s="1">
        <f t="shared" si="0"/>
        <v>1.7999999999999998</v>
      </c>
      <c r="H22" s="1">
        <f t="shared" si="0"/>
        <v>1.9999999999999998</v>
      </c>
      <c r="I22" s="1">
        <f t="shared" si="0"/>
        <v>2.1999999999999997</v>
      </c>
      <c r="J22" s="1">
        <v>2</v>
      </c>
      <c r="K22" s="1">
        <v>1.8</v>
      </c>
      <c r="L22" s="1">
        <f>K22+0.2</f>
        <v>2</v>
      </c>
      <c r="M22" s="1">
        <v>2.5</v>
      </c>
      <c r="N22" s="1">
        <v>2.6</v>
      </c>
      <c r="O22" s="1">
        <v>2.2999999999999998</v>
      </c>
      <c r="P22" s="1">
        <v>2</v>
      </c>
      <c r="Q22" s="1">
        <v>1.8</v>
      </c>
      <c r="R22" s="1">
        <v>1.8</v>
      </c>
      <c r="S22" s="1">
        <v>1.5</v>
      </c>
      <c r="T22" s="1">
        <v>1.5</v>
      </c>
      <c r="U22" s="1">
        <v>1.5</v>
      </c>
      <c r="V22" s="1">
        <v>1.5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</row>
    <row r="23" spans="1:107" x14ac:dyDescent="0.25">
      <c r="A23" t="s">
        <v>17</v>
      </c>
      <c r="B23" t="s">
        <v>18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</row>
    <row r="24" spans="1:107" x14ac:dyDescent="0.25">
      <c r="A24" t="s">
        <v>19</v>
      </c>
      <c r="B24" t="s">
        <v>21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</row>
    <row r="25" spans="1:107" x14ac:dyDescent="0.25">
      <c r="A25" t="s">
        <v>48</v>
      </c>
      <c r="B25" t="s">
        <v>58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</row>
    <row r="26" spans="1:107" x14ac:dyDescent="0.25">
      <c r="A26" t="s">
        <v>59</v>
      </c>
      <c r="B26" t="s">
        <v>54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</row>
    <row r="27" spans="1:107" x14ac:dyDescent="0.25">
      <c r="A27" t="s">
        <v>26</v>
      </c>
      <c r="B27" t="s">
        <v>60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  <c r="DB27" s="15"/>
      <c r="DC27" s="15"/>
    </row>
    <row r="28" spans="1:107" x14ac:dyDescent="0.25">
      <c r="A28" t="s">
        <v>20</v>
      </c>
      <c r="B28" t="s">
        <v>22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  <c r="CZ28" s="15"/>
      <c r="DA28" s="15"/>
      <c r="DB28" s="15"/>
      <c r="DC28" s="15"/>
    </row>
    <row r="29" spans="1:107" x14ac:dyDescent="0.25">
      <c r="A29" t="s">
        <v>23</v>
      </c>
      <c r="B29" t="s">
        <v>24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</row>
    <row r="31" spans="1:107" x14ac:dyDescent="0.25">
      <c r="A31" s="3" t="s">
        <v>46</v>
      </c>
    </row>
    <row r="32" spans="1:107" x14ac:dyDescent="0.25">
      <c r="A32" t="s">
        <v>52</v>
      </c>
      <c r="B32" t="s">
        <v>22</v>
      </c>
      <c r="C32" s="1">
        <v>0.25</v>
      </c>
    </row>
    <row r="33" spans="1:3" x14ac:dyDescent="0.25">
      <c r="A33" t="s">
        <v>47</v>
      </c>
      <c r="B33" t="s">
        <v>24</v>
      </c>
      <c r="C33" s="1">
        <v>5</v>
      </c>
    </row>
    <row r="34" spans="1:3" x14ac:dyDescent="0.25">
      <c r="A34" t="s">
        <v>48</v>
      </c>
      <c r="B34" t="s">
        <v>53</v>
      </c>
      <c r="C34" s="1">
        <v>1</v>
      </c>
    </row>
    <row r="35" spans="1:3" x14ac:dyDescent="0.25">
      <c r="A35" t="s">
        <v>59</v>
      </c>
      <c r="B35" t="s">
        <v>55</v>
      </c>
      <c r="C35" s="1">
        <v>0.1</v>
      </c>
    </row>
    <row r="36" spans="1:3" x14ac:dyDescent="0.25">
      <c r="A36" t="s">
        <v>92</v>
      </c>
      <c r="B36" t="s">
        <v>60</v>
      </c>
      <c r="C36" s="1">
        <v>1000</v>
      </c>
    </row>
    <row r="38" spans="1:3" x14ac:dyDescent="0.25">
      <c r="A38" s="3" t="s">
        <v>49</v>
      </c>
    </row>
    <row r="39" spans="1:3" x14ac:dyDescent="0.25">
      <c r="A39" s="4" t="s">
        <v>61</v>
      </c>
      <c r="C39" s="1">
        <v>20</v>
      </c>
    </row>
    <row r="40" spans="1:3" x14ac:dyDescent="0.25">
      <c r="A40" t="s">
        <v>38</v>
      </c>
      <c r="B40" t="s">
        <v>51</v>
      </c>
      <c r="C40" s="1">
        <v>240</v>
      </c>
    </row>
    <row r="41" spans="1:3" x14ac:dyDescent="0.25">
      <c r="A41" t="s">
        <v>102</v>
      </c>
      <c r="B41" t="s">
        <v>103</v>
      </c>
      <c r="C41" s="1">
        <f>365*30</f>
        <v>10950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Model">
                <anchor moveWithCells="1" sizeWithCells="1">
                  <from>
                    <xdr:col>13</xdr:col>
                    <xdr:colOff>180975</xdr:colOff>
                    <xdr:row>14</xdr:row>
                    <xdr:rowOff>38100</xdr:rowOff>
                  </from>
                  <to>
                    <xdr:col>17</xdr:col>
                    <xdr:colOff>171450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ildModel">
                <anchor moveWithCells="1" sizeWithCells="1">
                  <from>
                    <xdr:col>13</xdr:col>
                    <xdr:colOff>180975</xdr:colOff>
                    <xdr:row>12</xdr:row>
                    <xdr:rowOff>38100</xdr:rowOff>
                  </from>
                  <to>
                    <xdr:col>17</xdr:col>
                    <xdr:colOff>171450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2"/>
  <sheetViews>
    <sheetView workbookViewId="0">
      <selection sqref="A1:XFD1048576"/>
    </sheetView>
  </sheetViews>
  <sheetFormatPr defaultRowHeight="15" x14ac:dyDescent="0.25"/>
  <sheetData>
    <row r="1" spans="1:23" x14ac:dyDescent="0.25">
      <c r="A1" t="s">
        <v>0</v>
      </c>
    </row>
    <row r="2" spans="1:23" x14ac:dyDescent="0.25">
      <c r="A2" t="s">
        <v>1</v>
      </c>
    </row>
    <row r="3" spans="1:23" x14ac:dyDescent="0.25">
      <c r="A3" t="s">
        <v>2</v>
      </c>
    </row>
    <row r="4" spans="1:23" x14ac:dyDescent="0.25">
      <c r="A4" t="s">
        <v>3</v>
      </c>
      <c r="B4">
        <v>1</v>
      </c>
      <c r="C4">
        <v>5</v>
      </c>
      <c r="D4">
        <v>9</v>
      </c>
      <c r="E4">
        <v>13</v>
      </c>
      <c r="F4">
        <v>17</v>
      </c>
      <c r="G4">
        <v>21</v>
      </c>
      <c r="H4">
        <v>25</v>
      </c>
      <c r="I4">
        <v>29</v>
      </c>
      <c r="J4">
        <v>33</v>
      </c>
      <c r="K4">
        <v>37</v>
      </c>
      <c r="L4">
        <v>41</v>
      </c>
      <c r="M4">
        <v>45</v>
      </c>
      <c r="N4">
        <v>49</v>
      </c>
      <c r="O4">
        <v>53</v>
      </c>
      <c r="P4">
        <v>57</v>
      </c>
      <c r="Q4">
        <v>61</v>
      </c>
      <c r="R4">
        <v>65</v>
      </c>
      <c r="S4">
        <v>69</v>
      </c>
      <c r="T4">
        <v>73</v>
      </c>
      <c r="U4">
        <v>77</v>
      </c>
      <c r="V4">
        <v>81</v>
      </c>
    </row>
    <row r="5" spans="1:23" x14ac:dyDescent="0.25">
      <c r="A5" t="s">
        <v>4</v>
      </c>
      <c r="B5">
        <v>6</v>
      </c>
      <c r="C5">
        <v>6</v>
      </c>
      <c r="D5">
        <v>6</v>
      </c>
      <c r="E5">
        <v>6</v>
      </c>
      <c r="F5">
        <v>5.5</v>
      </c>
      <c r="G5">
        <v>5</v>
      </c>
      <c r="H5">
        <v>6</v>
      </c>
      <c r="I5">
        <v>6</v>
      </c>
      <c r="J5">
        <v>6</v>
      </c>
      <c r="K5">
        <v>6</v>
      </c>
      <c r="L5">
        <v>5.5</v>
      </c>
      <c r="M5">
        <v>5.5</v>
      </c>
      <c r="N5">
        <v>5.7</v>
      </c>
      <c r="O5">
        <v>6</v>
      </c>
      <c r="P5">
        <v>6</v>
      </c>
      <c r="Q5">
        <v>6</v>
      </c>
      <c r="R5">
        <v>6</v>
      </c>
      <c r="S5">
        <v>6</v>
      </c>
      <c r="T5">
        <v>6</v>
      </c>
      <c r="U5">
        <v>6</v>
      </c>
      <c r="V5">
        <v>6</v>
      </c>
      <c r="W5">
        <v>6</v>
      </c>
    </row>
    <row r="6" spans="1:23" x14ac:dyDescent="0.25">
      <c r="A6" t="s">
        <v>5</v>
      </c>
      <c r="B6">
        <v>1.5</v>
      </c>
      <c r="C6">
        <v>1.5</v>
      </c>
      <c r="D6">
        <v>1.2</v>
      </c>
      <c r="E6">
        <v>1.4</v>
      </c>
      <c r="F6">
        <v>1.5999999999999999</v>
      </c>
      <c r="G6">
        <v>1.7999999999999998</v>
      </c>
      <c r="H6">
        <v>1.9999999999999998</v>
      </c>
      <c r="I6">
        <v>2.1999999999999997</v>
      </c>
      <c r="J6">
        <v>2</v>
      </c>
      <c r="K6">
        <v>1.8</v>
      </c>
      <c r="L6">
        <v>2</v>
      </c>
      <c r="M6">
        <v>2.5</v>
      </c>
      <c r="N6">
        <v>2.6</v>
      </c>
      <c r="O6">
        <v>2.2999999999999998</v>
      </c>
      <c r="P6">
        <v>2</v>
      </c>
      <c r="Q6">
        <v>1.8</v>
      </c>
      <c r="R6">
        <v>1.8</v>
      </c>
      <c r="S6">
        <v>1.5</v>
      </c>
      <c r="T6">
        <v>1.5</v>
      </c>
      <c r="U6">
        <v>1.5</v>
      </c>
      <c r="V6">
        <v>1.5</v>
      </c>
      <c r="W6">
        <v>1.5</v>
      </c>
    </row>
    <row r="7" spans="1:23" x14ac:dyDescent="0.25">
      <c r="A7" t="s">
        <v>1</v>
      </c>
    </row>
    <row r="8" spans="1:23" x14ac:dyDescent="0.25">
      <c r="A8" t="s">
        <v>6</v>
      </c>
    </row>
    <row r="9" spans="1:23" x14ac:dyDescent="0.25">
      <c r="A9" t="s">
        <v>7</v>
      </c>
    </row>
    <row r="10" spans="1:23" x14ac:dyDescent="0.25">
      <c r="A10" t="s">
        <v>9</v>
      </c>
    </row>
    <row r="11" spans="1:23" x14ac:dyDescent="0.25">
      <c r="A11" t="s">
        <v>10</v>
      </c>
    </row>
    <row r="12" spans="1:23" x14ac:dyDescent="0.25">
      <c r="A12" t="s">
        <v>8</v>
      </c>
    </row>
    <row r="13" spans="1:23" x14ac:dyDescent="0.25">
      <c r="A13" t="s">
        <v>62</v>
      </c>
    </row>
    <row r="14" spans="1:23" x14ac:dyDescent="0.25">
      <c r="A14" t="s">
        <v>63</v>
      </c>
    </row>
    <row r="15" spans="1:23" x14ac:dyDescent="0.25">
      <c r="A15" t="s">
        <v>11</v>
      </c>
    </row>
    <row r="16" spans="1:23" x14ac:dyDescent="0.25">
      <c r="A16" t="s">
        <v>1</v>
      </c>
    </row>
    <row r="17" spans="1:1" x14ac:dyDescent="0.25">
      <c r="A17" t="s">
        <v>12</v>
      </c>
    </row>
    <row r="18" spans="1:1" x14ac:dyDescent="0.25">
      <c r="A18" t="s">
        <v>13</v>
      </c>
    </row>
    <row r="19" spans="1:1" x14ac:dyDescent="0.25">
      <c r="A19" t="s">
        <v>14</v>
      </c>
    </row>
    <row r="20" spans="1:1" x14ac:dyDescent="0.25">
      <c r="A20" t="s">
        <v>15</v>
      </c>
    </row>
    <row r="21" spans="1:1" x14ac:dyDescent="0.25">
      <c r="A21" s="9" t="s">
        <v>64</v>
      </c>
    </row>
    <row r="22" spans="1:1" x14ac:dyDescent="0.25">
      <c r="A22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65</v>
      </c>
    </row>
    <row r="2" spans="1:3" x14ac:dyDescent="0.25">
      <c r="A2" t="s">
        <v>1</v>
      </c>
    </row>
    <row r="3" spans="1:3" x14ac:dyDescent="0.25">
      <c r="A3" t="s">
        <v>66</v>
      </c>
    </row>
    <row r="4" spans="1:3" x14ac:dyDescent="0.25">
      <c r="A4" t="s">
        <v>35</v>
      </c>
      <c r="B4" t="str">
        <f>'Model Builder'!$J$12&amp;"\"&amp;'Model Builder'!J14</f>
        <v>c:\sammee-1d\samm1d_test.sSetup</v>
      </c>
    </row>
    <row r="5" spans="1:3" x14ac:dyDescent="0.25">
      <c r="A5" t="s">
        <v>36</v>
      </c>
      <c r="B5" t="str">
        <f>'Model Builder'!$J$12&amp;"\"&amp;'Model Builder'!J15</f>
        <v>c:\sammee-1d\jarrahdale_wet.sRain</v>
      </c>
    </row>
    <row r="6" spans="1:3" x14ac:dyDescent="0.25">
      <c r="A6" t="s">
        <v>37</v>
      </c>
      <c r="B6" t="str">
        <f>'Model Builder'!$J$12&amp;"\"&amp;'Model Builder'!J16</f>
        <v>c:\sammee-1d\samm1d_test.sOut</v>
      </c>
    </row>
    <row r="7" spans="1:3" x14ac:dyDescent="0.25">
      <c r="A7" t="s">
        <v>38</v>
      </c>
      <c r="B7">
        <f>'Model Builder'!C40</f>
        <v>240</v>
      </c>
    </row>
    <row r="8" spans="1:3" x14ac:dyDescent="0.25">
      <c r="A8" t="s">
        <v>39</v>
      </c>
      <c r="B8">
        <f>'Model Builder'!C41*1440/'Model Builder'!C40</f>
        <v>65700</v>
      </c>
    </row>
    <row r="9" spans="1:3" x14ac:dyDescent="0.25">
      <c r="A9" t="s">
        <v>40</v>
      </c>
      <c r="B9">
        <f>'Model Builder'!C15</f>
        <v>2.5</v>
      </c>
      <c r="C9">
        <f>'Model Builder'!D15</f>
        <v>2.5</v>
      </c>
    </row>
    <row r="10" spans="1:3" x14ac:dyDescent="0.25">
      <c r="A10" t="s">
        <v>1</v>
      </c>
    </row>
    <row r="11" spans="1:3" x14ac:dyDescent="0.25">
      <c r="A11" t="s">
        <v>6</v>
      </c>
    </row>
    <row r="12" spans="1:3" x14ac:dyDescent="0.25">
      <c r="A12" t="s">
        <v>41</v>
      </c>
      <c r="B12">
        <f>IF(ISBLANK('Model Builder'!C32),"",'Model Builder'!C32)</f>
        <v>0.25</v>
      </c>
    </row>
    <row r="13" spans="1:3" x14ac:dyDescent="0.25">
      <c r="A13" t="s">
        <v>42</v>
      </c>
      <c r="B13">
        <f>IF(ISBLANK('Model Builder'!C33),"",'Model Builder'!C33)</f>
        <v>5</v>
      </c>
    </row>
    <row r="14" spans="1:3" x14ac:dyDescent="0.25">
      <c r="A14" t="s">
        <v>43</v>
      </c>
      <c r="B14">
        <f>IF(ISBLANK('Model Builder'!C34),"",'Model Builder'!C34)</f>
        <v>1</v>
      </c>
    </row>
    <row r="15" spans="1:3" x14ac:dyDescent="0.25">
      <c r="A15" t="s">
        <v>67</v>
      </c>
      <c r="B15">
        <f>IF(ISBLANK('Model Builder'!C35),"",'Model Builder'!C35)</f>
        <v>0.1</v>
      </c>
    </row>
    <row r="16" spans="1:3" x14ac:dyDescent="0.25">
      <c r="A16" t="s">
        <v>1</v>
      </c>
    </row>
    <row r="17" spans="1:1" x14ac:dyDescent="0.25">
      <c r="A17" t="s">
        <v>12</v>
      </c>
    </row>
    <row r="18" spans="1:1" x14ac:dyDescent="0.25">
      <c r="A18" t="s">
        <v>68</v>
      </c>
    </row>
    <row r="19" spans="1:1" x14ac:dyDescent="0.25">
      <c r="A19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1"/>
  <sheetViews>
    <sheetView workbookViewId="0">
      <selection activeCell="E11" sqref="E11"/>
    </sheetView>
  </sheetViews>
  <sheetFormatPr defaultRowHeight="15" x14ac:dyDescent="0.25"/>
  <cols>
    <col min="1" max="1" width="9.140625" customWidth="1"/>
  </cols>
  <sheetData>
    <row r="1" spans="1:2" x14ac:dyDescent="0.25">
      <c r="B1" t="s">
        <v>88</v>
      </c>
    </row>
    <row r="2" spans="1:2" x14ac:dyDescent="0.25">
      <c r="A2" t="s">
        <v>81</v>
      </c>
      <c r="B2">
        <f>COUNT('Model Builder'!20:20)+1</f>
        <v>20</v>
      </c>
    </row>
    <row r="3" spans="1:2" x14ac:dyDescent="0.25">
      <c r="A3" t="s">
        <v>82</v>
      </c>
      <c r="B3">
        <f>COUNT('Model Builder'!21:21)</f>
        <v>20</v>
      </c>
    </row>
    <row r="4" spans="1:2" x14ac:dyDescent="0.25">
      <c r="A4" t="s">
        <v>83</v>
      </c>
      <c r="B4">
        <f>COUNT('Model Builder'!22:22)</f>
        <v>20</v>
      </c>
    </row>
    <row r="5" spans="1:2" x14ac:dyDescent="0.25">
      <c r="A5" t="s">
        <v>84</v>
      </c>
      <c r="B5">
        <f>COUNT('Model Builder'!23:23)</f>
        <v>0</v>
      </c>
    </row>
    <row r="6" spans="1:2" x14ac:dyDescent="0.25">
      <c r="A6" t="s">
        <v>85</v>
      </c>
      <c r="B6">
        <f>COUNT('Model Builder'!24:24)</f>
        <v>0</v>
      </c>
    </row>
    <row r="7" spans="1:2" x14ac:dyDescent="0.25">
      <c r="A7" t="s">
        <v>86</v>
      </c>
      <c r="B7">
        <f>COUNT('Model Builder'!25:25)</f>
        <v>0</v>
      </c>
    </row>
    <row r="8" spans="1:2" x14ac:dyDescent="0.25">
      <c r="A8" t="s">
        <v>87</v>
      </c>
      <c r="B8">
        <f>COUNT('Model Builder'!26:26)</f>
        <v>0</v>
      </c>
    </row>
    <row r="9" spans="1:2" x14ac:dyDescent="0.25">
      <c r="A9" t="s">
        <v>91</v>
      </c>
      <c r="B9">
        <f>COUNT('Model Builder'!27:27)</f>
        <v>0</v>
      </c>
    </row>
    <row r="10" spans="1:2" x14ac:dyDescent="0.25">
      <c r="A10" t="s">
        <v>89</v>
      </c>
      <c r="B10">
        <f>COUNT('Model Builder'!28:28)</f>
        <v>0</v>
      </c>
    </row>
    <row r="11" spans="1:2" x14ac:dyDescent="0.25">
      <c r="A11" t="s">
        <v>90</v>
      </c>
      <c r="B11">
        <f>COUNT('Model Builder'!29:29)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O3"/>
  <sheetViews>
    <sheetView workbookViewId="0"/>
  </sheetViews>
  <sheetFormatPr defaultRowHeight="15" x14ac:dyDescent="0.25"/>
  <sheetData>
    <row r="1" spans="1:41" x14ac:dyDescent="0.25">
      <c r="A1">
        <v>1</v>
      </c>
      <c r="B1">
        <v>5</v>
      </c>
      <c r="C1">
        <v>5</v>
      </c>
      <c r="D1">
        <v>9</v>
      </c>
      <c r="E1">
        <v>9</v>
      </c>
      <c r="F1">
        <v>13</v>
      </c>
      <c r="G1">
        <v>13</v>
      </c>
      <c r="H1">
        <v>17</v>
      </c>
      <c r="I1">
        <v>17</v>
      </c>
      <c r="J1">
        <v>21</v>
      </c>
      <c r="K1">
        <v>21</v>
      </c>
      <c r="L1">
        <v>25</v>
      </c>
      <c r="M1">
        <v>25</v>
      </c>
      <c r="N1">
        <v>29</v>
      </c>
      <c r="O1">
        <v>29</v>
      </c>
      <c r="P1">
        <v>33</v>
      </c>
      <c r="Q1">
        <v>33</v>
      </c>
      <c r="R1">
        <v>37</v>
      </c>
      <c r="S1">
        <v>37</v>
      </c>
      <c r="T1">
        <v>41</v>
      </c>
      <c r="U1">
        <v>41</v>
      </c>
      <c r="V1">
        <v>45</v>
      </c>
      <c r="W1">
        <v>45</v>
      </c>
      <c r="X1">
        <v>49</v>
      </c>
      <c r="Y1">
        <v>49</v>
      </c>
      <c r="Z1">
        <v>53</v>
      </c>
      <c r="AA1">
        <v>53</v>
      </c>
      <c r="AB1">
        <v>57</v>
      </c>
      <c r="AC1">
        <v>57</v>
      </c>
      <c r="AD1">
        <v>61</v>
      </c>
      <c r="AE1">
        <v>61</v>
      </c>
      <c r="AF1">
        <v>65</v>
      </c>
      <c r="AG1">
        <v>65</v>
      </c>
      <c r="AH1">
        <v>69</v>
      </c>
      <c r="AI1">
        <v>69</v>
      </c>
      <c r="AJ1">
        <v>73</v>
      </c>
      <c r="AK1">
        <v>73</v>
      </c>
      <c r="AL1">
        <v>77</v>
      </c>
      <c r="AM1">
        <v>77</v>
      </c>
      <c r="AN1">
        <v>81</v>
      </c>
      <c r="AO1">
        <v>81</v>
      </c>
    </row>
    <row r="2" spans="1:41" x14ac:dyDescent="0.25">
      <c r="A2">
        <v>6</v>
      </c>
      <c r="B2">
        <v>6</v>
      </c>
      <c r="C2">
        <v>6</v>
      </c>
      <c r="D2">
        <v>6</v>
      </c>
      <c r="E2">
        <v>6</v>
      </c>
      <c r="F2">
        <v>6</v>
      </c>
      <c r="G2">
        <v>5.5</v>
      </c>
      <c r="H2">
        <v>5.5</v>
      </c>
      <c r="I2">
        <v>5</v>
      </c>
      <c r="J2">
        <v>5</v>
      </c>
      <c r="K2">
        <v>6</v>
      </c>
      <c r="L2">
        <v>6</v>
      </c>
      <c r="M2">
        <v>6</v>
      </c>
      <c r="N2">
        <v>6</v>
      </c>
      <c r="O2">
        <v>6</v>
      </c>
      <c r="P2">
        <v>6</v>
      </c>
      <c r="Q2">
        <v>6</v>
      </c>
      <c r="R2">
        <v>6</v>
      </c>
      <c r="S2">
        <v>5.5</v>
      </c>
      <c r="T2">
        <v>5.5</v>
      </c>
      <c r="U2">
        <v>5.5</v>
      </c>
      <c r="V2">
        <v>5.5</v>
      </c>
      <c r="W2">
        <v>5.7</v>
      </c>
      <c r="X2">
        <v>5.7</v>
      </c>
      <c r="Y2">
        <v>6</v>
      </c>
      <c r="Z2">
        <v>6</v>
      </c>
      <c r="AA2">
        <v>6</v>
      </c>
      <c r="AB2">
        <v>6</v>
      </c>
      <c r="AC2">
        <v>6</v>
      </c>
      <c r="AD2">
        <v>6</v>
      </c>
      <c r="AE2">
        <v>6</v>
      </c>
      <c r="AF2">
        <v>6</v>
      </c>
      <c r="AG2">
        <v>6</v>
      </c>
      <c r="AH2">
        <v>6</v>
      </c>
      <c r="AI2">
        <v>6</v>
      </c>
      <c r="AJ2">
        <v>6</v>
      </c>
      <c r="AK2">
        <v>6</v>
      </c>
      <c r="AL2">
        <v>6</v>
      </c>
      <c r="AM2">
        <v>6</v>
      </c>
      <c r="AN2">
        <v>6</v>
      </c>
      <c r="AO2">
        <v>6</v>
      </c>
    </row>
    <row r="3" spans="1:41" x14ac:dyDescent="0.25">
      <c r="A3">
        <v>1.5</v>
      </c>
      <c r="B3">
        <v>1.5</v>
      </c>
      <c r="C3">
        <v>1.2</v>
      </c>
      <c r="D3">
        <v>1.2</v>
      </c>
      <c r="E3">
        <v>1.4</v>
      </c>
      <c r="F3">
        <v>1.4</v>
      </c>
      <c r="G3">
        <v>1.5999999999999999</v>
      </c>
      <c r="H3">
        <v>1.5999999999999999</v>
      </c>
      <c r="I3">
        <v>1.7999999999999998</v>
      </c>
      <c r="J3">
        <v>1.7999999999999998</v>
      </c>
      <c r="K3">
        <v>1.9999999999999998</v>
      </c>
      <c r="L3">
        <v>1.9999999999999998</v>
      </c>
      <c r="M3">
        <v>2.1999999999999997</v>
      </c>
      <c r="N3">
        <v>2.1999999999999997</v>
      </c>
      <c r="O3">
        <v>2</v>
      </c>
      <c r="P3">
        <v>2</v>
      </c>
      <c r="Q3">
        <v>1.8</v>
      </c>
      <c r="R3">
        <v>1.8</v>
      </c>
      <c r="S3">
        <v>2</v>
      </c>
      <c r="T3">
        <v>2</v>
      </c>
      <c r="U3">
        <v>2.5</v>
      </c>
      <c r="V3">
        <v>2.5</v>
      </c>
      <c r="W3">
        <v>2.6</v>
      </c>
      <c r="X3">
        <v>2.6</v>
      </c>
      <c r="Y3">
        <v>2.2999999999999998</v>
      </c>
      <c r="Z3">
        <v>2.2999999999999998</v>
      </c>
      <c r="AA3">
        <v>2</v>
      </c>
      <c r="AB3">
        <v>2</v>
      </c>
      <c r="AC3">
        <v>1.8</v>
      </c>
      <c r="AD3">
        <v>1.8</v>
      </c>
      <c r="AE3">
        <v>1.8</v>
      </c>
      <c r="AF3">
        <v>1.8</v>
      </c>
      <c r="AG3">
        <v>1.5</v>
      </c>
      <c r="AH3">
        <v>1.5</v>
      </c>
      <c r="AI3">
        <v>1.5</v>
      </c>
      <c r="AJ3">
        <v>1.5</v>
      </c>
      <c r="AK3">
        <v>1.5</v>
      </c>
      <c r="AL3">
        <v>1.5</v>
      </c>
      <c r="AM3">
        <v>1.5</v>
      </c>
      <c r="AN3">
        <v>1.5</v>
      </c>
      <c r="AO3">
        <v>1.5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Model Builder</vt:lpstr>
      <vt:lpstr>setupCSV</vt:lpstr>
      <vt:lpstr>parameterCSV</vt:lpstr>
      <vt:lpstr>SHa</vt:lpstr>
      <vt:lpstr>Plot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kelly norris</dc:creator>
  <cp:lastModifiedBy>kelly norris</cp:lastModifiedBy>
  <dcterms:created xsi:type="dcterms:W3CDTF">2013-12-15T12:50:48Z</dcterms:created>
  <dcterms:modified xsi:type="dcterms:W3CDTF">2015-12-07T04:11:41Z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669180f4-30d9-44c3-b3d5-bdbaa432cda1</vt:lpwstr>
  </property>
</Properties>
</file>